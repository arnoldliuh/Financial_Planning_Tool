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fwaterloo-my.sharepoint.com/personal/a395liu_uwaterloo_ca/Documents/"/>
    </mc:Choice>
  </mc:AlternateContent>
  <xr:revisionPtr revIDLastSave="0" documentId="8_{1A79E343-9673-1E42-A5B5-20CC45660E79}" xr6:coauthVersionLast="47" xr6:coauthVersionMax="47" xr10:uidLastSave="{00000000-0000-0000-0000-000000000000}"/>
  <bookViews>
    <workbookView xWindow="0" yWindow="760" windowWidth="22300" windowHeight="13300" activeTab="1" xr2:uid="{00000000-000D-0000-FFFF-FFFF00000000}"/>
  </bookViews>
  <sheets>
    <sheet name="config" sheetId="7" state="hidden" r:id="rId1"/>
    <sheet name="Dashboard" sheetId="6" r:id="rId2"/>
    <sheet name="Expenses&amp;Income" sheetId="1" r:id="rId3"/>
    <sheet name="FinancialReport" sheetId="2" r:id="rId4"/>
    <sheet name="Goals&amp;Investments" sheetId="4" r:id="rId5"/>
    <sheet name="Budgeting" sheetId="5" r:id="rId6"/>
    <sheet name="Financial Advice" sheetId="3" r:id="rId7"/>
  </sheets>
  <definedNames>
    <definedName name="_xleta.DATE" hidden="1" xlm="1">#NAME?</definedName>
    <definedName name="_xleta.IF" hidden="1" xlm="1">#NAME?</definedName>
    <definedName name="_xleta.N" hidden="1" xlm="1">#NAME?</definedName>
    <definedName name="_xleta.TODAY" hidden="1" xlm="1">#NAME?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K4" i="4"/>
  <c r="K5" i="4"/>
  <c r="E8" i="5"/>
  <c r="E9" i="5"/>
  <c r="E10" i="5"/>
  <c r="E11" i="5"/>
  <c r="E12" i="5"/>
  <c r="E13" i="5"/>
  <c r="P6" i="4"/>
  <c r="Q6" i="4"/>
  <c r="Q7" i="4"/>
  <c r="P7" i="4"/>
  <c r="P4" i="4"/>
  <c r="P8" i="4"/>
  <c r="P5" i="4"/>
  <c r="Q8" i="4"/>
  <c r="Q5" i="4"/>
  <c r="Q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536503-1F5D-4949-9C5C-57575CAD00BF}" keepAlive="1" name="Query - Table2" description="Connection to the 'Table2' query in the workbook." type="5" refreshedVersion="0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<sst xmlns="http://schemas.openxmlformats.org/spreadsheetml/2006/main" count="52" uniqueCount="41">
  <si>
    <t>Date</t>
  </si>
  <si>
    <t>Amount</t>
  </si>
  <si>
    <t>Goal</t>
  </si>
  <si>
    <t>Estimated Cost</t>
  </si>
  <si>
    <t>Date started</t>
  </si>
  <si>
    <t>On track?</t>
  </si>
  <si>
    <t>Source/Category</t>
  </si>
  <si>
    <t>Notes</t>
  </si>
  <si>
    <t>Amount Saved</t>
  </si>
  <si>
    <t>Account</t>
  </si>
  <si>
    <t>Value</t>
  </si>
  <si>
    <t>Invested</t>
  </si>
  <si>
    <t>ROI</t>
  </si>
  <si>
    <t>Goal Number</t>
  </si>
  <si>
    <t>General Saving</t>
  </si>
  <si>
    <t>tfsa</t>
  </si>
  <si>
    <t>rrsp</t>
  </si>
  <si>
    <t>cash</t>
  </si>
  <si>
    <t>fhsa</t>
  </si>
  <si>
    <t>Profit</t>
  </si>
  <si>
    <t>non-reg</t>
  </si>
  <si>
    <t>Category</t>
  </si>
  <si>
    <t>Planned $</t>
  </si>
  <si>
    <t>Actual $</t>
  </si>
  <si>
    <t>Difference</t>
  </si>
  <si>
    <t>Month</t>
  </si>
  <si>
    <t>Food</t>
  </si>
  <si>
    <t>Housing</t>
  </si>
  <si>
    <t>Transportation</t>
  </si>
  <si>
    <t>Recurring</t>
  </si>
  <si>
    <t>Miscellaneous</t>
  </si>
  <si>
    <t>Income/Expense</t>
  </si>
  <si>
    <t>Tuition</t>
  </si>
  <si>
    <t>School-related</t>
  </si>
  <si>
    <t>Goal Deadline</t>
  </si>
  <si>
    <t>Income</t>
  </si>
  <si>
    <t>Work</t>
  </si>
  <si>
    <t>paycheck</t>
  </si>
  <si>
    <t>Arnold's Financial Planner</t>
  </si>
  <si>
    <t>Arnold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</si>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</sst>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;\-&quot;$&quot;#,##0.00"/>
    <numFmt numFmtId="165" formatCode="_-&quot;$&quot;* #,##0.00_-;\-&quot;$&quot;* #,##0.00_-;_-&quot;$&quot;* &quot;-&quot;??_-;_-@_-"/>
    <numFmt numFmtId="166" formatCode="yyyy\-mm\-dd;@"/>
  </numFmts>
  <fonts count="8" x14ac:knownFonts="1">
    <font>
      <sz val="11"/>
      <color theme="1"/>
      <name val="Corbel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orbel"/>
      <family val="2"/>
      <scheme val="minor"/>
    </font>
    <font>
      <sz val="8"/>
      <name val="Corbel"/>
      <family val="2"/>
      <scheme val="minor"/>
    </font>
    <font>
      <b/>
      <sz val="36"/>
      <color theme="1"/>
      <name val="Calibri"/>
      <family val="2"/>
    </font>
    <font>
      <sz val="11"/>
      <color rgb="FF000000"/>
      <name val="Corbel"/>
    </font>
    <font>
      <sz val="8"/>
      <color rgb="FF000000"/>
      <name val="Segoe UI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5" fontId="3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0" fontId="0" fillId="2" borderId="0" xfId="0" applyFill="1"/>
    <xf numFmtId="166" fontId="0" fillId="2" borderId="0" xfId="0" applyNumberFormat="1" applyFill="1"/>
    <xf numFmtId="0" fontId="5" fillId="2" borderId="0" xfId="0" applyFont="1" applyFill="1"/>
    <xf numFmtId="0" fontId="0" fillId="2" borderId="0" xfId="0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1" applyNumberFormat="1" applyFont="1" applyFill="1"/>
    <xf numFmtId="165" fontId="0" fillId="0" borderId="0" xfId="1" applyFont="1" applyFill="1"/>
    <xf numFmtId="10" fontId="0" fillId="0" borderId="0" xfId="0" applyNumberFormat="1"/>
  </cellXfs>
  <cellStyles count="2">
    <cellStyle name="Currency" xfId="1" builtinId="4"/>
    <cellStyle name="Normal" xfId="0" builtinId="0"/>
  </cellStyles>
  <dxfs count="38"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 vs Expense: 1Day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Expenses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4CF-4E1E-8B43-FAB9E9F5A7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Expenses</c:v>
              </c:pt>
              <c:pt idx="1">
                <c:v>Income</c:v>
              </c:pt>
              <c:pt idx="2">
                <c:v>Net Difference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4CF-4E1E-8B43-FAB9E9F5A73D}"/>
            </c:ext>
          </c:extLst>
        </c:ser>
        <c:ser>
          <c:idx val="0"/>
          <c:order val="1"/>
          <c:tx>
            <c:v>Income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"/>
              <c:pt idx="0">
                <c:v>Expenses</c:v>
              </c:pt>
              <c:pt idx="1">
                <c:v>Income</c:v>
              </c:pt>
              <c:pt idx="2">
                <c:v>Net Difference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74CF-4E1E-8B43-FAB9E9F5A73D}"/>
            </c:ext>
          </c:extLst>
        </c:ser>
        <c:ser>
          <c:idx val="1"/>
          <c:order val="2"/>
          <c:tx>
            <c:v>Net Difference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6.9444444444443426E-3"/>
                  <c:y val="2.777850685331000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772222222222222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74CF-4E1E-8B43-FAB9E9F5A7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Expenses</c:v>
              </c:pt>
              <c:pt idx="1">
                <c:v>Income</c:v>
              </c:pt>
              <c:pt idx="2">
                <c:v>Net Difference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74CF-4E1E-8B43-FAB9E9F5A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4743568"/>
        <c:axId val="2108928608"/>
        <c:extLst/>
      </c:barChart>
      <c:catAx>
        <c:axId val="21047435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08928608"/>
        <c:crosses val="autoZero"/>
        <c:auto val="0"/>
        <c:lblAlgn val="ctr"/>
        <c:lblOffset val="100"/>
        <c:tickLblSkip val="1"/>
        <c:noMultiLvlLbl val="0"/>
      </c:catAx>
      <c:valAx>
        <c:axId val="21089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474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546100</xdr:colOff>
          <xdr:row>5</xdr:row>
          <xdr:rowOff>177800</xdr:rowOff>
        </xdr:from>
        <xdr:to>
          <xdr:col>4</xdr:col>
          <xdr:colOff>330200</xdr:colOff>
          <xdr:row>8</xdr:row>
          <xdr:rowOff>101600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Open Expenses&amp;Income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5</xdr:row>
          <xdr:rowOff>165100</xdr:rowOff>
        </xdr:from>
        <xdr:to>
          <xdr:col>6</xdr:col>
          <xdr:colOff>482600</xdr:colOff>
          <xdr:row>8</xdr:row>
          <xdr:rowOff>63500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Open FinancialReport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139700</xdr:rowOff>
        </xdr:from>
        <xdr:to>
          <xdr:col>8</xdr:col>
          <xdr:colOff>558800</xdr:colOff>
          <xdr:row>8</xdr:row>
          <xdr:rowOff>76200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Open Goals&amp;Investments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5</xdr:row>
          <xdr:rowOff>139700</xdr:rowOff>
        </xdr:from>
        <xdr:to>
          <xdr:col>10</xdr:col>
          <xdr:colOff>533400</xdr:colOff>
          <xdr:row>8</xdr:row>
          <xdr:rowOff>88900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Open FinancialAdvice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5</xdr:row>
          <xdr:rowOff>101600</xdr:rowOff>
        </xdr:from>
        <xdr:to>
          <xdr:col>12</xdr:col>
          <xdr:colOff>419100</xdr:colOff>
          <xdr:row>8</xdr:row>
          <xdr:rowOff>76200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Open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Budgeting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444500</xdr:colOff>
          <xdr:row>4</xdr:row>
          <xdr:rowOff>177800</xdr:rowOff>
        </xdr:from>
        <xdr:to>
          <xdr:col>13</xdr:col>
          <xdr:colOff>88900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Add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7</xdr:row>
          <xdr:rowOff>152400</xdr:rowOff>
        </xdr:from>
        <xdr:to>
          <xdr:col>13</xdr:col>
          <xdr:colOff>88900</xdr:colOff>
          <xdr:row>10</xdr:row>
          <xdr:rowOff>12700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Add Expense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7</xdr:row>
      <xdr:rowOff>0</xdr:rowOff>
    </xdr:from>
    <xdr:to>
      <xdr:col>6</xdr:col>
      <xdr:colOff>9525</xdr:colOff>
      <xdr:row>22</xdr:row>
      <xdr:rowOff>171449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FC2657-64CA-B9B3-02D9-28D44DFCB6C8}"/>
            </a:ext>
          </a:extLst>
        </xdr:cNvPr>
        <xdr:cNvSpPr txBox="1"/>
      </xdr:nvSpPr>
      <xdr:spPr>
        <a:xfrm>
          <a:off x="0" y="1743074"/>
          <a:ext cx="3343275" cy="31908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6000" b="1" kern="1200"/>
            <a:t>Expenses</a:t>
          </a:r>
          <a:r>
            <a:rPr lang="en-CA" sz="6000" b="1" kern="1200" baseline="0"/>
            <a:t> &amp; Income</a:t>
          </a:r>
        </a:p>
        <a:p>
          <a:r>
            <a:rPr lang="en-CA" sz="2000" b="1" kern="1200"/>
            <a:t>Record</a:t>
          </a:r>
          <a:r>
            <a:rPr lang="en-CA" sz="2000" b="1" kern="1200" baseline="0"/>
            <a:t> all your Expenses and Income here!</a:t>
          </a:r>
          <a:endParaRPr lang="en-CA" sz="2000" b="1" kern="1200"/>
        </a:p>
        <a:p>
          <a:endParaRPr lang="en-CA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1</xdr:row>
          <xdr:rowOff>0</xdr:rowOff>
        </xdr:from>
        <xdr:to>
          <xdr:col>0</xdr:col>
          <xdr:colOff>1092200</xdr:colOff>
          <xdr:row>2</xdr:row>
          <xdr:rowOff>25400</xdr:rowOff>
        </xdr:to>
        <xdr:sp macro="" textlink="">
          <xdr:nvSpPr>
            <xdr:cNvPr id="10242" name="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177800</xdr:rowOff>
        </xdr:from>
        <xdr:to>
          <xdr:col>0</xdr:col>
          <xdr:colOff>1104900</xdr:colOff>
          <xdr:row>6</xdr:row>
          <xdr:rowOff>12700</xdr:rowOff>
        </xdr:to>
        <xdr:sp macro="" textlink="">
          <xdr:nvSpPr>
            <xdr:cNvPr id="10243" name="Button5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Year-to-Date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2</xdr:row>
          <xdr:rowOff>0</xdr:rowOff>
        </xdr:from>
        <xdr:to>
          <xdr:col>0</xdr:col>
          <xdr:colOff>1092200</xdr:colOff>
          <xdr:row>3</xdr:row>
          <xdr:rowOff>25400</xdr:rowOff>
        </xdr:to>
        <xdr:sp macro="" textlink="">
          <xdr:nvSpPr>
            <xdr:cNvPr id="10244" name="Button2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7 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63500</xdr:colOff>
          <xdr:row>2</xdr:row>
          <xdr:rowOff>177800</xdr:rowOff>
        </xdr:from>
        <xdr:to>
          <xdr:col>0</xdr:col>
          <xdr:colOff>1092200</xdr:colOff>
          <xdr:row>4</xdr:row>
          <xdr:rowOff>12700</xdr:rowOff>
        </xdr:to>
        <xdr:sp macro="" textlink="">
          <xdr:nvSpPr>
            <xdr:cNvPr id="10245" name="Button 3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3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177800</xdr:rowOff>
        </xdr:from>
        <xdr:to>
          <xdr:col>0</xdr:col>
          <xdr:colOff>1104900</xdr:colOff>
          <xdr:row>5</xdr:row>
          <xdr:rowOff>12700</xdr:rowOff>
        </xdr:to>
        <xdr:sp macro="" textlink="">
          <xdr:nvSpPr>
            <xdr:cNvPr id="10246" name="Button 4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3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90 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177800</xdr:rowOff>
        </xdr:from>
        <xdr:to>
          <xdr:col>0</xdr:col>
          <xdr:colOff>1104900</xdr:colOff>
          <xdr:row>7</xdr:row>
          <xdr:rowOff>12700</xdr:rowOff>
        </xdr:to>
        <xdr:sp macro="" textlink="">
          <xdr:nvSpPr>
            <xdr:cNvPr id="10251" name="Button6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3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177800</xdr:rowOff>
        </xdr:from>
        <xdr:to>
          <xdr:col>0</xdr:col>
          <xdr:colOff>1104900</xdr:colOff>
          <xdr:row>8</xdr:row>
          <xdr:rowOff>0</xdr:rowOff>
        </xdr:to>
        <xdr:sp macro="" textlink="">
          <xdr:nvSpPr>
            <xdr:cNvPr id="10252" name="Button7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3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All Time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342900</xdr:colOff>
      <xdr:row>7</xdr:row>
      <xdr:rowOff>80962</xdr:rowOff>
    </xdr:from>
    <xdr:to>
      <xdr:col>9</xdr:col>
      <xdr:colOff>619125</xdr:colOff>
      <xdr:row>21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F6D44B-6302-0ECA-C3CA-BF3BCF0DB3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57150</xdr:colOff>
      <xdr:row>0</xdr:row>
      <xdr:rowOff>152400</xdr:rowOff>
    </xdr:from>
    <xdr:ext cx="7524750" cy="103162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56BC171-759C-2151-2EF7-C0A5EC014FF4}"/>
            </a:ext>
          </a:extLst>
        </xdr:cNvPr>
        <xdr:cNvSpPr txBox="1"/>
      </xdr:nvSpPr>
      <xdr:spPr>
        <a:xfrm>
          <a:off x="2095500" y="152400"/>
          <a:ext cx="7524750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6000" b="1" kern="1200"/>
            <a:t>Financial Report</a:t>
          </a:r>
        </a:p>
      </xdr:txBody>
    </xdr:sp>
    <xdr:clientData/>
  </xdr:oneCellAnchor>
  <xdr:oneCellAnchor>
    <xdr:from>
      <xdr:col>0</xdr:col>
      <xdr:colOff>0</xdr:colOff>
      <xdr:row>8</xdr:row>
      <xdr:rowOff>76199</xdr:rowOff>
    </xdr:from>
    <xdr:ext cx="19050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31056F1-732D-16BA-FBB9-023AFE273B2E}"/>
            </a:ext>
          </a:extLst>
        </xdr:cNvPr>
        <xdr:cNvSpPr txBox="1"/>
      </xdr:nvSpPr>
      <xdr:spPr>
        <a:xfrm>
          <a:off x="0" y="1600199"/>
          <a:ext cx="190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kern="1200"/>
            <a:t>Adjust</a:t>
          </a:r>
          <a:r>
            <a:rPr lang="en-CA" sz="1100" kern="1200" baseline="0"/>
            <a:t> timeframe of chart</a:t>
          </a:r>
          <a:endParaRPr lang="en-CA" sz="1100" kern="12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9</xdr:row>
          <xdr:rowOff>139700</xdr:rowOff>
        </xdr:from>
        <xdr:to>
          <xdr:col>2</xdr:col>
          <xdr:colOff>469900</xdr:colOff>
          <xdr:row>11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 goal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279400</xdr:colOff>
          <xdr:row>12</xdr:row>
          <xdr:rowOff>139700</xdr:rowOff>
        </xdr:from>
        <xdr:to>
          <xdr:col>2</xdr:col>
          <xdr:colOff>444500</xdr:colOff>
          <xdr:row>15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Investment/Goal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Contribution/Withdrawal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19</xdr:row>
          <xdr:rowOff>165100</xdr:rowOff>
        </xdr:from>
        <xdr:to>
          <xdr:col>2</xdr:col>
          <xdr:colOff>444500</xdr:colOff>
          <xdr:row>22</xdr:row>
          <xdr:rowOff>63500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 Investment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16</xdr:row>
          <xdr:rowOff>25400</xdr:rowOff>
        </xdr:from>
        <xdr:to>
          <xdr:col>2</xdr:col>
          <xdr:colOff>444500</xdr:colOff>
          <xdr:row>18</xdr:row>
          <xdr:rowOff>101600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Account Value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1</xdr:row>
      <xdr:rowOff>95249</xdr:rowOff>
    </xdr:from>
    <xdr:ext cx="2409825" cy="1094274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DEBF19C-6CA9-9D15-B814-0DF522D00FFC}"/>
            </a:ext>
          </a:extLst>
        </xdr:cNvPr>
        <xdr:cNvSpPr txBox="1"/>
      </xdr:nvSpPr>
      <xdr:spPr>
        <a:xfrm>
          <a:off x="152400" y="285749"/>
          <a:ext cx="2409825" cy="10942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3200" b="1" kern="1200"/>
            <a:t>Goals &amp; Investments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355600</xdr:colOff>
          <xdr:row>4</xdr:row>
          <xdr:rowOff>25400</xdr:rowOff>
        </xdr:from>
        <xdr:to>
          <xdr:col>8</xdr:col>
          <xdr:colOff>330200</xdr:colOff>
          <xdr:row>7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Budget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8</xdr:row>
          <xdr:rowOff>25400</xdr:rowOff>
        </xdr:from>
        <xdr:to>
          <xdr:col>8</xdr:col>
          <xdr:colOff>254000</xdr:colOff>
          <xdr:row>10</xdr:row>
          <xdr:rowOff>177800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Add New Month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742950</xdr:colOff>
      <xdr:row>4</xdr:row>
      <xdr:rowOff>24480</xdr:rowOff>
    </xdr:from>
    <xdr:ext cx="4286250" cy="165782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AD8579-A628-F286-65CD-7CDCD511B193}"/>
            </a:ext>
          </a:extLst>
        </xdr:cNvPr>
        <xdr:cNvSpPr txBox="1"/>
      </xdr:nvSpPr>
      <xdr:spPr>
        <a:xfrm>
          <a:off x="8001000" y="786480"/>
          <a:ext cx="4286250" cy="16578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r>
            <a:rPr lang="en-CA" sz="6000" kern="1200"/>
            <a:t>BUDGETING</a:t>
          </a:r>
        </a:p>
        <a:p>
          <a:pPr algn="ctr"/>
          <a:r>
            <a:rPr lang="en-CA" sz="2000" b="1" kern="1200"/>
            <a:t>View your expenses or edit your spending goals here!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444500</xdr:colOff>
          <xdr:row>14</xdr:row>
          <xdr:rowOff>63500</xdr:rowOff>
        </xdr:from>
        <xdr:to>
          <xdr:col>8</xdr:col>
          <xdr:colOff>635000</xdr:colOff>
          <xdr:row>17</xdr:row>
          <xdr:rowOff>12700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Give Me Advice On My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14</xdr:row>
          <xdr:rowOff>63500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 charset="0"/>
                </a:rPr>
                <a:t>Give Me Advice On My Spending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523875</xdr:colOff>
      <xdr:row>2</xdr:row>
      <xdr:rowOff>19049</xdr:rowOff>
    </xdr:from>
    <xdr:ext cx="5486400" cy="103162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281165-C218-342E-3455-F15C63025BDB}"/>
            </a:ext>
          </a:extLst>
        </xdr:cNvPr>
        <xdr:cNvSpPr txBox="1"/>
      </xdr:nvSpPr>
      <xdr:spPr>
        <a:xfrm>
          <a:off x="523875" y="400049"/>
          <a:ext cx="5486400" cy="10316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6000" b="1" kern="1200"/>
            <a:t>Financial Advice</a:t>
          </a:r>
        </a:p>
      </xdr:txBody>
    </xdr:sp>
    <xdr:clientData/>
  </xdr:one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58CFB1BB-4F2A-479F-AA71-CC11F0876189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8928A5-3710-4904-BC67-1D5F9B2C41D4}" name="TransactionTable" displayName="TransactionTable" ref="G3:K4" insertRowShift="1" totalsRowShown="0" headerRowDxfId="37" dataDxfId="36">
  <autoFilter ref="G3:K4" xr:uid="{BA8928A5-3710-4904-BC67-1D5F9B2C41D4}"/>
  <tableColumns count="5">
    <tableColumn id="1" xr3:uid="{EE8B3BA1-420C-424B-B92D-A46F90266FCB}" name="Income/Expense" dataDxfId="35"/>
    <tableColumn id="2" xr3:uid="{441BDC14-F41A-43F1-A587-6104B28425B7}" name="Amount" dataDxfId="34"/>
    <tableColumn id="3" xr3:uid="{195137A2-EDBC-4DF8-BBC0-522E5008F7C7}" name="Source/Category" dataDxfId="33"/>
    <tableColumn id="4" xr3:uid="{92D386D9-2752-40EE-9616-6611438E9672}" name="Date" dataDxfId="32"/>
    <tableColumn id="5" xr3:uid="{02884C07-72D9-48C0-B630-54FD98A956CB}" name="Notes" dataDxfId="31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0849C4-C7B8-481F-876B-4D02DFE31C9A}" name="AccountTable" displayName="AccountTable" ref="M3:Q8" totalsRowShown="0" headerRowDxfId="25" dataDxfId="24">
  <autoFilter ref="M3:Q8" xr:uid="{3A0849C4-C7B8-481F-876B-4D02DFE31C9A}"/>
  <sortState xmlns:xlrd2="http://schemas.microsoft.com/office/spreadsheetml/2017/richdata2" ref="M4:Q8">
    <sortCondition ref="M3:M8"/>
  </sortState>
  <tableColumns count="5">
    <tableColumn id="1" xr3:uid="{3F230289-915B-489F-BDEA-E624C94B7AC3}" name="Account" dataDxfId="23"/>
    <tableColumn id="9" xr3:uid="{682B72B3-6A06-44D4-906E-21A4BF2102B7}" name="Invested" dataDxfId="22" dataCellStyle="Currency"/>
    <tableColumn id="2" xr3:uid="{90A72A65-DF87-4B77-AE60-DCB3D21EB9CF}" name="Value" dataDxfId="21" dataCellStyle="Currency"/>
    <tableColumn id="4" xr3:uid="{3616A241-A53D-4F23-B1A9-4D5ACD8B6747}" name="Profit" dataDxfId="20" dataCellStyle="Currency">
      <calculatedColumnFormula>AccountTable[[#This Row],[Value]]-AccountTable[[#This Row],[Invested]]</calculatedColumnFormula>
    </tableColumn>
    <tableColumn id="3" xr3:uid="{A72786CD-254C-466B-A562-72ABF8CE12D5}" name="ROI" dataDxfId="19">
      <calculatedColumnFormula>AccountTable[[#This Row],[Value]]/AccountTable[[#This Row],[Invested]]-1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134CDA-D0F0-4E56-A1BE-6E08A43B6635}" name="GoalTable" displayName="GoalTable" ref="E3:K5" totalsRowShown="0" headerRowDxfId="18" dataDxfId="17">
  <autoFilter ref="E3:K5" xr:uid="{C3134CDA-D0F0-4E56-A1BE-6E08A43B6635}"/>
  <tableColumns count="7">
    <tableColumn id="1" xr3:uid="{82EDEEDE-5831-492B-B2C8-CC213062D783}" name="Goal" dataDxfId="16"/>
    <tableColumn id="8" xr3:uid="{6A764F24-A7EA-463A-865F-4E5B815ED72D}" name="Goal Number" dataDxfId="15"/>
    <tableColumn id="2" xr3:uid="{C47A145D-B43A-4B2C-A8B4-34AF5351291F}" name="Estimated Cost" dataDxfId="14"/>
    <tableColumn id="3" xr3:uid="{B199BCE5-5E1A-42A3-8C63-EA9DBDA8CB99}" name="Goal Deadline" dataDxfId="13"/>
    <tableColumn id="4" xr3:uid="{4E3C33A0-A28F-40BF-9CA6-6EB4EB8E99AA}" name="Date started" dataDxfId="12"/>
    <tableColumn id="7" xr3:uid="{C58B6178-D969-4C6C-B47A-AE2DD3394671}" name="Amount Saved" dataDxfId="11"/>
    <tableColumn id="5" xr3:uid="{2723D3F2-7DE4-4134-A720-8776417C48B3}" name="On track?" dataDxfId="10">
      <calculatedColumnFormula>IF(GoalTable[[#This Row],[Amount Saved]]/GoalTable[[#This Row],[Estimated Cost]]&gt;_xlfn.DAYS(TODAY(), GoalTable[[#This Row],[Date started]])/(GoalTable[[#This Row],[Goal Deadline]]*365), "Yes", "No")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BDC6E9-AA3F-43F9-A4E7-42735BEA062F}" name="BudgetTable" displayName="BudgetTable" ref="A1:E13" totalsRowShown="0" headerRowDxfId="6" dataDxfId="5">
  <autoFilter ref="A1:E13" xr:uid="{1DBDC6E9-AA3F-43F9-A4E7-42735BEA062F}"/>
  <tableColumns count="5">
    <tableColumn id="1" xr3:uid="{CDB468AD-5509-412E-8881-7EFDB4765420}" name="Category" dataDxfId="4"/>
    <tableColumn id="2" xr3:uid="{50BF3447-EE6C-4E08-8332-B5D65FFA9FEF}" name="Planned $" dataDxfId="3"/>
    <tableColumn id="3" xr3:uid="{EDD12849-4C1E-4BE0-8A5E-2FFE204EA314}" name="Actual $" dataDxfId="2"/>
    <tableColumn id="4" xr3:uid="{FC616989-FC4A-4169-8AD1-705746FF3C39}" name="Difference" dataDxfId="1">
      <calculatedColumnFormula>BudgetTable[[#This Row],[Planned $]]-BudgetTable[[#This Row],[Actual $]]</calculatedColumnFormula>
    </tableColumn>
    <tableColumn id="5" xr3:uid="{B8F76559-A9ED-4A8C-9F7C-ACE24E964629}" name="Month" dataDxfId="0">
      <calculatedColumnFormula>TEXT(TODAY(), "mmm")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Frame">
  <a:themeElements>
    <a:clrScheme name="Frame">
      <a:dk1>
        <a:srgbClr val="000000"/>
      </a:dk1>
      <a:lt1>
        <a:srgbClr val="FFFFFF"/>
      </a:lt1>
      <a:dk2>
        <a:srgbClr val="545454"/>
      </a:dk2>
      <a:lt2>
        <a:srgbClr val="BFBFBF"/>
      </a:lt2>
      <a:accent1>
        <a:srgbClr val="40BAD2"/>
      </a:accent1>
      <a:accent2>
        <a:srgbClr val="FAB900"/>
      </a:accent2>
      <a:accent3>
        <a:srgbClr val="90BB23"/>
      </a:accent3>
      <a:accent4>
        <a:srgbClr val="EE7008"/>
      </a:accent4>
      <a:accent5>
        <a:srgbClr val="1AB39F"/>
      </a:accent5>
      <a:accent6>
        <a:srgbClr val="D5393D"/>
      </a:accent6>
      <a:hlink>
        <a:srgbClr val="90BB23"/>
      </a:hlink>
      <a:folHlink>
        <a:srgbClr val="EE7008"/>
      </a:folHlink>
    </a:clrScheme>
    <a:fontScheme name="Frame">
      <a:maj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20000"/>
                <a:lumMod val="102000"/>
              </a:schemeClr>
            </a:gs>
            <a:gs pos="48000">
              <a:schemeClr val="phClr">
                <a:tint val="98000"/>
                <a:shade val="90000"/>
                <a:satMod val="110000"/>
                <a:lumMod val="103000"/>
              </a:schemeClr>
            </a:gs>
            <a:gs pos="100000">
              <a:schemeClr val="phClr">
                <a:tint val="98000"/>
                <a:shade val="8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rame" id="{F226E7A2-7162-461C-9490-D27D9DC04E43}" vid="{629A0216-3BBD-45C0-B63F-2683BEA18F60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9/04/relationships/namedSheetView" Target="../namedSheetViews/namedSheetView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D0A02-FE62-45CE-A627-C61E77173FF0}">
  <sheetPr codeName="Sheet7"/>
  <dimension ref="A1"/>
  <sheetViews>
    <sheetView workbookViewId="0"/>
  </sheetViews>
  <sheetFormatPr baseColWidth="10" defaultColWidth="8.83203125" defaultRowHeight="15" x14ac:dyDescent="0.2"/>
  <sheetData>
    <row r="1" spans="1:1" x14ac:dyDescent="0.2">
      <c r="A1" t="s">
        <v>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453E-07CE-44E9-A806-E568BF6F610E}">
  <sheetPr codeName="Sheet6"/>
  <dimension ref="A1"/>
  <sheetViews>
    <sheetView tabSelected="1" zoomScaleNormal="100" workbookViewId="0">
      <selection activeCell="D21" sqref="D21"/>
    </sheetView>
  </sheetViews>
  <sheetFormatPr baseColWidth="10" defaultColWidth="9" defaultRowHeight="15" x14ac:dyDescent="0.2"/>
  <cols>
    <col min="1" max="16384" width="9" style="2"/>
  </cols>
  <sheetData>
    <row r="1" spans="1:1" ht="47" x14ac:dyDescent="0.55000000000000004">
      <c r="A1" s="4" t="s">
        <v>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penExpensesAndIncome">
                <anchor moveWithCells="1" sizeWithCells="1">
                  <from>
                    <xdr:col>2</xdr:col>
                    <xdr:colOff>546100</xdr:colOff>
                    <xdr:row>5</xdr:row>
                    <xdr:rowOff>177800</xdr:rowOff>
                  </from>
                  <to>
                    <xdr:col>4</xdr:col>
                    <xdr:colOff>330200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OpenFinancialReport">
                <anchor moveWithCells="1" sizeWithCells="1">
                  <from>
                    <xdr:col>4</xdr:col>
                    <xdr:colOff>571500</xdr:colOff>
                    <xdr:row>5</xdr:row>
                    <xdr:rowOff>165100</xdr:rowOff>
                  </from>
                  <to>
                    <xdr:col>6</xdr:col>
                    <xdr:colOff>482600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OpenGoalsAndInvestments">
                <anchor moveWithCells="1" sizeWithCells="1">
                  <from>
                    <xdr:col>7</xdr:col>
                    <xdr:colOff>12700</xdr:colOff>
                    <xdr:row>5</xdr:row>
                    <xdr:rowOff>139700</xdr:rowOff>
                  </from>
                  <to>
                    <xdr:col>8</xdr:col>
                    <xdr:colOff>558800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OpenFinancialAdvice">
                <anchor moveWithCells="1" sizeWithCells="1">
                  <from>
                    <xdr:col>9</xdr:col>
                    <xdr:colOff>76200</xdr:colOff>
                    <xdr:row>5</xdr:row>
                    <xdr:rowOff>139700</xdr:rowOff>
                  </from>
                  <to>
                    <xdr:col>10</xdr:col>
                    <xdr:colOff>533400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OpenBudgeting">
                <anchor moveWithCells="1" sizeWithCells="1">
                  <from>
                    <xdr:col>11</xdr:col>
                    <xdr:colOff>25400</xdr:colOff>
                    <xdr:row>5</xdr:row>
                    <xdr:rowOff>101600</xdr:rowOff>
                  </from>
                  <to>
                    <xdr:col>12</xdr:col>
                    <xdr:colOff>419100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"/>
  <sheetViews>
    <sheetView workbookViewId="0">
      <selection activeCell="J26" sqref="J26"/>
    </sheetView>
  </sheetViews>
  <sheetFormatPr baseColWidth="10" defaultColWidth="8.6640625" defaultRowHeight="15" x14ac:dyDescent="0.2"/>
  <cols>
    <col min="1" max="5" width="8.6640625" style="2" customWidth="1"/>
    <col min="6" max="6" width="1.1640625" style="2" hidden="1" customWidth="1"/>
    <col min="7" max="7" width="19.1640625" style="2" customWidth="1"/>
    <col min="8" max="8" width="14" style="2" customWidth="1"/>
    <col min="9" max="9" width="17.6640625" style="2" customWidth="1"/>
    <col min="10" max="10" width="21" style="2" customWidth="1"/>
    <col min="11" max="11" width="11.6640625" style="2" customWidth="1"/>
    <col min="12" max="12" width="22" style="2" customWidth="1"/>
    <col min="13" max="16384" width="8.6640625" style="2"/>
  </cols>
  <sheetData>
    <row r="1" spans="1:11" x14ac:dyDescent="0.2">
      <c r="A1" s="3"/>
    </row>
    <row r="2" spans="1:11" x14ac:dyDescent="0.2">
      <c r="A2" s="3"/>
    </row>
    <row r="3" spans="1:11" x14ac:dyDescent="0.2">
      <c r="A3" s="3"/>
      <c r="G3" t="s">
        <v>31</v>
      </c>
      <c r="H3" t="s">
        <v>1</v>
      </c>
      <c r="I3" t="s">
        <v>6</v>
      </c>
      <c r="J3" t="s">
        <v>0</v>
      </c>
      <c r="K3" t="s">
        <v>7</v>
      </c>
    </row>
    <row r="4" spans="1:11" x14ac:dyDescent="0.2">
      <c r="A4" s="3"/>
      <c r="G4" t="s">
        <v>35</v>
      </c>
      <c r="H4">
        <v>1000</v>
      </c>
      <c r="I4" t="s">
        <v>36</v>
      </c>
      <c r="J4" s="1">
        <v>45625</v>
      </c>
      <c r="K4" t="s">
        <v>37</v>
      </c>
    </row>
    <row r="5" spans="1:11" x14ac:dyDescent="0.2">
      <c r="A5" s="3"/>
    </row>
  </sheetData>
  <conditionalFormatting sqref="G5:H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1048576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Income">
                <anchor moveWithCells="1" sizeWithCells="1">
                  <from>
                    <xdr:col>11</xdr:col>
                    <xdr:colOff>444500</xdr:colOff>
                    <xdr:row>4</xdr:row>
                    <xdr:rowOff>177800</xdr:rowOff>
                  </from>
                  <to>
                    <xdr:col>13</xdr:col>
                    <xdr:colOff>88900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AddExpense">
                <anchor moveWithCells="1" sizeWithCells="1">
                  <from>
                    <xdr:col>11</xdr:col>
                    <xdr:colOff>469900</xdr:colOff>
                    <xdr:row>7</xdr:row>
                    <xdr:rowOff>152400</xdr:rowOff>
                  </from>
                  <to>
                    <xdr:col>13</xdr:col>
                    <xdr:colOff>88900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3AB1A-42B3-448A-880B-08A40A955DE9}">
  <sheetPr codeName="Sheet2"/>
  <dimension ref="A1"/>
  <sheetViews>
    <sheetView workbookViewId="0">
      <selection activeCell="O9" sqref="O9"/>
    </sheetView>
  </sheetViews>
  <sheetFormatPr baseColWidth="10" defaultColWidth="8.6640625" defaultRowHeight="15" x14ac:dyDescent="0.2"/>
  <cols>
    <col min="1" max="1" width="18" style="2" customWidth="1"/>
    <col min="2" max="4" width="8.6640625" style="2"/>
    <col min="5" max="5" width="9.1640625" style="2" bestFit="1" customWidth="1"/>
    <col min="6" max="7" width="8.6640625" style="2"/>
    <col min="8" max="8" width="8.5" style="2" bestFit="1" customWidth="1"/>
    <col min="9" max="16384" width="8.66406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1">
              <controlPr defaultSize="0" autoFill="0" autoLine="0" autoPict="0" macro="[0]!Button1_Click">
                <anchor moveWithCells="1">
                  <from>
                    <xdr:col>0</xdr:col>
                    <xdr:colOff>63500</xdr:colOff>
                    <xdr:row>1</xdr:row>
                    <xdr:rowOff>0</xdr:rowOff>
                  </from>
                  <to>
                    <xdr:col>0</xdr:col>
                    <xdr:colOff>1092200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5">
              <controlPr defaultSize="0" autoFill="0" autoLine="0" autoPict="0" macro="[0]!Button5_Click">
                <anchor moveWithCells="1">
                  <from>
                    <xdr:col>0</xdr:col>
                    <xdr:colOff>76200</xdr:colOff>
                    <xdr:row>4</xdr:row>
                    <xdr:rowOff>177800</xdr:rowOff>
                  </from>
                  <to>
                    <xdr:col>0</xdr:col>
                    <xdr:colOff>1104900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2">
              <controlPr defaultSize="0" autoFill="0" autoLine="0" autoPict="0" macro="[0]!Button2_Click">
                <anchor moveWithCells="1">
                  <from>
                    <xdr:col>0</xdr:col>
                    <xdr:colOff>63500</xdr:colOff>
                    <xdr:row>2</xdr:row>
                    <xdr:rowOff>0</xdr:rowOff>
                  </from>
                  <to>
                    <xdr:col>0</xdr:col>
                    <xdr:colOff>1092200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3">
              <controlPr defaultSize="0" autoFill="0" autoLine="0" autoPict="0" macro="[0]!Button3_Click">
                <anchor moveWithCells="1">
                  <from>
                    <xdr:col>0</xdr:col>
                    <xdr:colOff>63500</xdr:colOff>
                    <xdr:row>2</xdr:row>
                    <xdr:rowOff>177800</xdr:rowOff>
                  </from>
                  <to>
                    <xdr:col>0</xdr:col>
                    <xdr:colOff>1092200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4">
              <controlPr defaultSize="0" autoFill="0" autoLine="0" autoPict="0" macro="[0]!Button4_Click">
                <anchor moveWithCells="1">
                  <from>
                    <xdr:col>0</xdr:col>
                    <xdr:colOff>76200</xdr:colOff>
                    <xdr:row>3</xdr:row>
                    <xdr:rowOff>177800</xdr:rowOff>
                  </from>
                  <to>
                    <xdr:col>0</xdr:col>
                    <xdr:colOff>1104900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8" name="Button6">
              <controlPr defaultSize="0" autoFill="0" autoLine="0" autoPict="0" macro="[0]!Button6_Click">
                <anchor moveWithCells="1">
                  <from>
                    <xdr:col>0</xdr:col>
                    <xdr:colOff>76200</xdr:colOff>
                    <xdr:row>5</xdr:row>
                    <xdr:rowOff>177800</xdr:rowOff>
                  </from>
                  <to>
                    <xdr:col>0</xdr:col>
                    <xdr:colOff>1104900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9" name="Button7">
              <controlPr defaultSize="0" autoFill="0" autoLine="0" autoPict="0" macro="[0]!Button7_Click">
                <anchor moveWithCells="1">
                  <from>
                    <xdr:col>0</xdr:col>
                    <xdr:colOff>76200</xdr:colOff>
                    <xdr:row>6</xdr:row>
                    <xdr:rowOff>177800</xdr:rowOff>
                  </from>
                  <to>
                    <xdr:col>0</xdr:col>
                    <xdr:colOff>1104900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EBA61-2BDE-4C30-98DE-5DC76A187758}">
  <sheetPr codeName="Sheet4"/>
  <dimension ref="E3:Q8"/>
  <sheetViews>
    <sheetView workbookViewId="0">
      <selection activeCell="C12" sqref="C12"/>
    </sheetView>
  </sheetViews>
  <sheetFormatPr baseColWidth="10" defaultColWidth="8.6640625" defaultRowHeight="15" x14ac:dyDescent="0.2"/>
  <cols>
    <col min="1" max="4" width="8.6640625" style="2"/>
    <col min="5" max="5" width="14.1640625" style="2" customWidth="1"/>
    <col min="6" max="6" width="15" style="2" customWidth="1"/>
    <col min="7" max="7" width="14.1640625" style="5" customWidth="1"/>
    <col min="8" max="8" width="14.83203125" style="2" customWidth="1"/>
    <col min="9" max="9" width="14" style="2" customWidth="1"/>
    <col min="10" max="10" width="16.1640625" style="2" customWidth="1"/>
    <col min="11" max="11" width="11.5" style="2" customWidth="1"/>
    <col min="12" max="12" width="10.5" style="2" customWidth="1"/>
    <col min="13" max="13" width="10.33203125" style="2" customWidth="1"/>
    <col min="14" max="14" width="11.83203125" style="2" customWidth="1"/>
    <col min="15" max="15" width="14" style="2" customWidth="1"/>
    <col min="16" max="16" width="12.1640625" style="2" customWidth="1"/>
    <col min="17" max="17" width="11" style="2" customWidth="1"/>
    <col min="18" max="16384" width="8.6640625" style="2"/>
  </cols>
  <sheetData>
    <row r="3" spans="5:17" x14ac:dyDescent="0.2">
      <c r="E3" t="s">
        <v>2</v>
      </c>
      <c r="F3" t="s">
        <v>13</v>
      </c>
      <c r="G3" s="6" t="s">
        <v>3</v>
      </c>
      <c r="H3" t="s">
        <v>34</v>
      </c>
      <c r="I3" t="s">
        <v>4</v>
      </c>
      <c r="J3" t="s">
        <v>8</v>
      </c>
      <c r="K3" t="s">
        <v>5</v>
      </c>
      <c r="M3" t="s">
        <v>9</v>
      </c>
      <c r="N3" t="s">
        <v>11</v>
      </c>
      <c r="O3" t="s">
        <v>10</v>
      </c>
      <c r="P3" t="s">
        <v>19</v>
      </c>
      <c r="Q3" t="s">
        <v>12</v>
      </c>
    </row>
    <row r="4" spans="5:17" x14ac:dyDescent="0.2">
      <c r="E4" t="s">
        <v>14</v>
      </c>
      <c r="F4">
        <v>1</v>
      </c>
      <c r="G4" s="6">
        <v>3000</v>
      </c>
      <c r="H4" s="1">
        <v>73051</v>
      </c>
      <c r="I4" s="1">
        <v>45623</v>
      </c>
      <c r="J4">
        <v>8000</v>
      </c>
      <c r="K4" t="str">
        <f ca="1">IF(GoalTable[[#This Row],[Amount Saved]]/GoalTable[[#This Row],[Estimated Cost]]&gt;_xlfn.DAYS(TODAY(), GoalTable[[#This Row],[Date started]])/(GoalTable[[#This Row],[Goal Deadline]]*365), "Yes", "No")</f>
        <v>Yes</v>
      </c>
      <c r="M4" t="s">
        <v>17</v>
      </c>
      <c r="N4" s="7">
        <v>12200</v>
      </c>
      <c r="O4" s="8">
        <v>10000</v>
      </c>
      <c r="P4" s="8">
        <f>AccountTable[[#This Row],[Value]]-AccountTable[[#This Row],[Invested]]</f>
        <v>-2200</v>
      </c>
      <c r="Q4" s="9">
        <f>AccountTable[[#This Row],[Value]]/AccountTable[[#This Row],[Invested]]-1</f>
        <v>-0.18032786885245899</v>
      </c>
    </row>
    <row r="5" spans="5:17" x14ac:dyDescent="0.2">
      <c r="E5" t="s">
        <v>32</v>
      </c>
      <c r="F5">
        <v>2</v>
      </c>
      <c r="G5" s="6">
        <v>72000</v>
      </c>
      <c r="H5" s="1">
        <v>47239</v>
      </c>
      <c r="I5" s="1">
        <v>45624</v>
      </c>
      <c r="J5">
        <v>0</v>
      </c>
      <c r="K5" t="str">
        <f ca="1">IF(GoalTable[[#This Row],[Amount Saved]]/GoalTable[[#This Row],[Estimated Cost]]&gt;_xlfn.DAYS(TODAY(), GoalTable[[#This Row],[Date started]])/(GoalTable[[#This Row],[Goal Deadline]]*365), "Yes", "No")</f>
        <v>No</v>
      </c>
      <c r="M5" t="s">
        <v>18</v>
      </c>
      <c r="N5" s="8">
        <v>8000</v>
      </c>
      <c r="O5" s="8">
        <v>8000</v>
      </c>
      <c r="P5" s="8">
        <f>AccountTable[[#This Row],[Value]]-AccountTable[[#This Row],[Invested]]</f>
        <v>0</v>
      </c>
      <c r="Q5" s="9">
        <f>AccountTable[[#This Row],[Value]]/AccountTable[[#This Row],[Invested]]-1</f>
        <v>0</v>
      </c>
    </row>
    <row r="6" spans="5:17" x14ac:dyDescent="0.2">
      <c r="M6" t="s">
        <v>20</v>
      </c>
      <c r="N6" s="8">
        <v>8000</v>
      </c>
      <c r="O6" s="8">
        <v>8000</v>
      </c>
      <c r="P6" s="8">
        <f>AccountTable[[#This Row],[Value]]-AccountTable[[#This Row],[Invested]]</f>
        <v>0</v>
      </c>
      <c r="Q6" s="9">
        <f>AccountTable[[#This Row],[Value]]/AccountTable[[#This Row],[Invested]]-1</f>
        <v>0</v>
      </c>
    </row>
    <row r="7" spans="5:17" x14ac:dyDescent="0.2">
      <c r="M7" t="s">
        <v>16</v>
      </c>
      <c r="N7" s="8">
        <v>100</v>
      </c>
      <c r="O7" s="8">
        <v>110</v>
      </c>
      <c r="P7" s="8">
        <f>AccountTable[[#This Row],[Value]]-AccountTable[[#This Row],[Invested]]</f>
        <v>10</v>
      </c>
      <c r="Q7" s="9">
        <f>AccountTable[[#This Row],[Value]]/AccountTable[[#This Row],[Invested]]-1</f>
        <v>0.10000000000000009</v>
      </c>
    </row>
    <row r="8" spans="5:17" x14ac:dyDescent="0.2">
      <c r="M8" t="s">
        <v>15</v>
      </c>
      <c r="N8" s="8">
        <v>7000</v>
      </c>
      <c r="O8" s="8">
        <v>100000</v>
      </c>
      <c r="P8" s="8">
        <f>AccountTable[[#This Row],[Value]]-AccountTable[[#This Row],[Invested]]</f>
        <v>93000</v>
      </c>
      <c r="Q8" s="9">
        <f>AccountTable[[#This Row],[Value]]/AccountTable[[#This Row],[Invested]]-1</f>
        <v>13.285714285714286</v>
      </c>
    </row>
  </sheetData>
  <conditionalFormatting sqref="P4:Q8">
    <cfRule type="cellIs" dxfId="30" priority="4" operator="greaterThan">
      <formula>0</formula>
    </cfRule>
    <cfRule type="cellIs" dxfId="29" priority="5" operator="lessThan">
      <formula>0</formula>
    </cfRule>
  </conditionalFormatting>
  <conditionalFormatting sqref="K4:K5">
    <cfRule type="containsText" dxfId="28" priority="2" operator="containsText" text="No">
      <formula>NOT(ISERROR(SEARCH("No",K4)))</formula>
    </cfRule>
    <cfRule type="containsText" dxfId="27" priority="3" operator="containsText" text="&quot;Yes&quot;">
      <formula>NOT(ISERROR(SEARCH("""Yes""",K4)))</formula>
    </cfRule>
  </conditionalFormatting>
  <conditionalFormatting sqref="K4:K5">
    <cfRule type="containsText" dxfId="26" priority="1" operator="containsText" text="Yes">
      <formula>NOT(ISERROR(SEARCH("Yes",K4)))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Goal">
                <anchor moveWithCells="1" sizeWithCells="1">
                  <from>
                    <xdr:col>0</xdr:col>
                    <xdr:colOff>254000</xdr:colOff>
                    <xdr:row>9</xdr:row>
                    <xdr:rowOff>139700</xdr:rowOff>
                  </from>
                  <to>
                    <xdr:col>2</xdr:col>
                    <xdr:colOff>469900</xdr:colOff>
                    <xdr:row>11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cordInvestment">
                <anchor moveWithCells="1" sizeWithCells="1">
                  <from>
                    <xdr:col>0</xdr:col>
                    <xdr:colOff>279400</xdr:colOff>
                    <xdr:row>12</xdr:row>
                    <xdr:rowOff>139700</xdr:rowOff>
                  </from>
                  <to>
                    <xdr:col>2</xdr:col>
                    <xdr:colOff>444500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ddAccount">
                <anchor moveWithCells="1" sizeWithCells="1">
                  <from>
                    <xdr:col>0</xdr:col>
                    <xdr:colOff>292100</xdr:colOff>
                    <xdr:row>19</xdr:row>
                    <xdr:rowOff>165100</xdr:rowOff>
                  </from>
                  <to>
                    <xdr:col>2</xdr:col>
                    <xdr:colOff>444500</xdr:colOff>
                    <xdr:row>22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pdateValue">
                <anchor moveWithCells="1" sizeWithCells="1">
                  <from>
                    <xdr:col>0</xdr:col>
                    <xdr:colOff>304800</xdr:colOff>
                    <xdr:row>16</xdr:row>
                    <xdr:rowOff>25400</xdr:rowOff>
                  </from>
                  <to>
                    <xdr:col>2</xdr:col>
                    <xdr:colOff>444500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58DCC-07F6-7B4A-8D01-B1302E6B35CD}">
  <sheetPr codeName="Sheet5"/>
  <dimension ref="A1:E13"/>
  <sheetViews>
    <sheetView workbookViewId="0">
      <selection activeCell="F7" sqref="F7"/>
    </sheetView>
  </sheetViews>
  <sheetFormatPr baseColWidth="10" defaultColWidth="11.33203125" defaultRowHeight="15" x14ac:dyDescent="0.2"/>
  <cols>
    <col min="1" max="1" width="13.6640625" style="2" customWidth="1"/>
    <col min="2" max="2" width="12.33203125" style="2" customWidth="1"/>
    <col min="3" max="3" width="10.6640625" style="2" customWidth="1"/>
    <col min="4" max="4" width="13" style="2" customWidth="1"/>
    <col min="5" max="16384" width="11.33203125" style="2"/>
  </cols>
  <sheetData>
    <row r="1" spans="1:5" x14ac:dyDescent="0.2">
      <c r="A1" t="s">
        <v>21</v>
      </c>
      <c r="B1" t="s">
        <v>22</v>
      </c>
      <c r="C1" t="s">
        <v>23</v>
      </c>
      <c r="D1" t="s">
        <v>24</v>
      </c>
      <c r="E1" t="s">
        <v>25</v>
      </c>
    </row>
    <row r="2" spans="1:5" x14ac:dyDescent="0.2">
      <c r="A2" t="s">
        <v>26</v>
      </c>
      <c r="B2">
        <v>700</v>
      </c>
      <c r="C2">
        <v>0</v>
      </c>
      <c r="D2">
        <f>BudgetTable[[#This Row],[Planned $]]-BudgetTable[[#This Row],[Actual $]]</f>
        <v>700</v>
      </c>
      <c r="E2" t="s">
        <v>40</v>
      </c>
    </row>
    <row r="3" spans="1:5" x14ac:dyDescent="0.2">
      <c r="A3" t="s">
        <v>27</v>
      </c>
      <c r="B3">
        <v>1200</v>
      </c>
      <c r="C3">
        <v>0</v>
      </c>
      <c r="D3">
        <f>BudgetTable[[#This Row],[Planned $]]-BudgetTable[[#This Row],[Actual $]]</f>
        <v>1200</v>
      </c>
      <c r="E3" t="s">
        <v>40</v>
      </c>
    </row>
    <row r="4" spans="1:5" x14ac:dyDescent="0.2">
      <c r="A4" t="s">
        <v>28</v>
      </c>
      <c r="B4">
        <v>50</v>
      </c>
      <c r="C4">
        <v>0</v>
      </c>
      <c r="D4">
        <f>BudgetTable[[#This Row],[Planned $]]-BudgetTable[[#This Row],[Actual $]]</f>
        <v>50</v>
      </c>
      <c r="E4" t="s">
        <v>40</v>
      </c>
    </row>
    <row r="5" spans="1:5" x14ac:dyDescent="0.2">
      <c r="A5" t="s">
        <v>33</v>
      </c>
      <c r="B5">
        <v>100</v>
      </c>
      <c r="C5">
        <v>0</v>
      </c>
      <c r="D5">
        <f>BudgetTable[[#This Row],[Planned $]]-BudgetTable[[#This Row],[Actual $]]</f>
        <v>100</v>
      </c>
      <c r="E5" t="s">
        <v>40</v>
      </c>
    </row>
    <row r="6" spans="1:5" x14ac:dyDescent="0.2">
      <c r="A6" t="s">
        <v>29</v>
      </c>
      <c r="B6">
        <v>50</v>
      </c>
      <c r="C6">
        <v>0</v>
      </c>
      <c r="D6">
        <f>BudgetTable[[#This Row],[Planned $]]-BudgetTable[[#This Row],[Actual $]]</f>
        <v>50</v>
      </c>
      <c r="E6" t="s">
        <v>40</v>
      </c>
    </row>
    <row r="7" spans="1:5" x14ac:dyDescent="0.2">
      <c r="A7" t="s">
        <v>30</v>
      </c>
      <c r="B7">
        <v>100</v>
      </c>
      <c r="C7">
        <v>0</v>
      </c>
      <c r="D7">
        <f>BudgetTable[[#This Row],[Planned $]]-BudgetTable[[#This Row],[Actual $]]</f>
        <v>100</v>
      </c>
      <c r="E7" t="s">
        <v>40</v>
      </c>
    </row>
    <row r="8" spans="1:5" x14ac:dyDescent="0.2">
      <c r="A8" t="s">
        <v>26</v>
      </c>
      <c r="B8">
        <v>700</v>
      </c>
      <c r="C8"/>
      <c r="D8">
        <f>BudgetTable[[#This Row],[Planned $]]-BudgetTable[[#This Row],[Actual $]]</f>
        <v>700</v>
      </c>
      <c r="E8" t="str">
        <f t="shared" ref="E8:E13" ca="1" si="0">TEXT(TODAY(), "mmm")</f>
        <v>Feb</v>
      </c>
    </row>
    <row r="9" spans="1:5" x14ac:dyDescent="0.2">
      <c r="A9" t="s">
        <v>27</v>
      </c>
      <c r="B9">
        <v>1200</v>
      </c>
      <c r="C9"/>
      <c r="D9">
        <f>BudgetTable[[#This Row],[Planned $]]-BudgetTable[[#This Row],[Actual $]]</f>
        <v>1200</v>
      </c>
      <c r="E9" t="str">
        <f t="shared" ca="1" si="0"/>
        <v>Feb</v>
      </c>
    </row>
    <row r="10" spans="1:5" x14ac:dyDescent="0.2">
      <c r="A10" t="s">
        <v>28</v>
      </c>
      <c r="B10">
        <v>50</v>
      </c>
      <c r="C10"/>
      <c r="D10">
        <f>BudgetTable[[#This Row],[Planned $]]-BudgetTable[[#This Row],[Actual $]]</f>
        <v>50</v>
      </c>
      <c r="E10" t="str">
        <f t="shared" ca="1" si="0"/>
        <v>Feb</v>
      </c>
    </row>
    <row r="11" spans="1:5" x14ac:dyDescent="0.2">
      <c r="A11" t="s">
        <v>33</v>
      </c>
      <c r="B11">
        <v>100</v>
      </c>
      <c r="C11"/>
      <c r="D11">
        <f>BudgetTable[[#This Row],[Planned $]]-BudgetTable[[#This Row],[Actual $]]</f>
        <v>100</v>
      </c>
      <c r="E11" t="str">
        <f t="shared" ca="1" si="0"/>
        <v>Feb</v>
      </c>
    </row>
    <row r="12" spans="1:5" x14ac:dyDescent="0.2">
      <c r="A12" t="s">
        <v>29</v>
      </c>
      <c r="B12">
        <v>50</v>
      </c>
      <c r="C12"/>
      <c r="D12">
        <f>BudgetTable[[#This Row],[Planned $]]-BudgetTable[[#This Row],[Actual $]]</f>
        <v>50</v>
      </c>
      <c r="E12" t="str">
        <f t="shared" ca="1" si="0"/>
        <v>Feb</v>
      </c>
    </row>
    <row r="13" spans="1:5" x14ac:dyDescent="0.2">
      <c r="A13" t="s">
        <v>30</v>
      </c>
      <c r="B13">
        <v>100</v>
      </c>
      <c r="C13"/>
      <c r="D13">
        <f>BudgetTable[[#This Row],[Planned $]]-BudgetTable[[#This Row],[Actual $]]</f>
        <v>100</v>
      </c>
      <c r="E13" t="str">
        <f t="shared" ca="1" si="0"/>
        <v>Feb</v>
      </c>
    </row>
  </sheetData>
  <phoneticPr fontId="4" type="noConversion"/>
  <conditionalFormatting sqref="D2:D13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Budget">
                <anchor moveWithCells="1" sizeWithCells="1">
                  <from>
                    <xdr:col>6</xdr:col>
                    <xdr:colOff>355600</xdr:colOff>
                    <xdr:row>4</xdr:row>
                    <xdr:rowOff>25400</xdr:rowOff>
                  </from>
                  <to>
                    <xdr:col>8</xdr:col>
                    <xdr:colOff>330200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RowsForNewMonth">
                <anchor moveWithCells="1" sizeWithCells="1">
                  <from>
                    <xdr:col>6</xdr:col>
                    <xdr:colOff>381000</xdr:colOff>
                    <xdr:row>8</xdr:row>
                    <xdr:rowOff>25400</xdr:rowOff>
                  </from>
                  <to>
                    <xdr:col>8</xdr:col>
                    <xdr:colOff>254000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ABF3-2254-4FD4-BF40-FBA7A23721CE}">
  <sheetPr codeName="Sheet3"/>
  <dimension ref="A1"/>
  <sheetViews>
    <sheetView workbookViewId="0">
      <selection activeCell="J12" sqref="J12"/>
    </sheetView>
  </sheetViews>
  <sheetFormatPr baseColWidth="10" defaultColWidth="8.6640625" defaultRowHeight="15" x14ac:dyDescent="0.2"/>
  <cols>
    <col min="1" max="1" width="15.33203125" style="2" customWidth="1"/>
    <col min="2" max="16384" width="8.66406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ProvideGoalAdvice">
                <anchor moveWithCells="1" sizeWithCells="1">
                  <from>
                    <xdr:col>5</xdr:col>
                    <xdr:colOff>444500</xdr:colOff>
                    <xdr:row>14</xdr:row>
                    <xdr:rowOff>63500</xdr:rowOff>
                  </from>
                  <to>
                    <xdr:col>8</xdr:col>
                    <xdr:colOff>635000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dgetAdvice">
                <anchor moveWithCells="1" sizeWithCells="1">
                  <from>
                    <xdr:col>1</xdr:col>
                    <xdr:colOff>419100</xdr:colOff>
                    <xdr:row>14</xdr:row>
                    <xdr:rowOff>63500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C7F5D13426EC4993B8CBB356CE693C" ma:contentTypeVersion="10" ma:contentTypeDescription="Create a new document." ma:contentTypeScope="" ma:versionID="ab0b3d35a55aba93b749e4a3e3577ba5">
  <xsd:schema xmlns:xsd="http://www.w3.org/2001/XMLSchema" xmlns:xs="http://www.w3.org/2001/XMLSchema" xmlns:p="http://schemas.microsoft.com/office/2006/metadata/properties" xmlns:ns3="29f7fb95-c3f2-4a10-ab7b-a3a76dc8befa" targetNamespace="http://schemas.microsoft.com/office/2006/metadata/properties" ma:root="true" ma:fieldsID="58307b3bb27fb8de4abec7bb5e256401" ns3:_="">
    <xsd:import namespace="29f7fb95-c3f2-4a10-ab7b-a3a76dc8bef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f7fb95-c3f2-4a10-ab7b-a3a76dc8bef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9f7fb95-c3f2-4a10-ab7b-a3a76dc8bef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A981E3B-5437-412A-8E08-B14A49563C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f7fb95-c3f2-4a10-ab7b-a3a76dc8be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EFF735-D625-4A91-91D3-D8AC1CA2884C}">
  <ds:schemaRefs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terms/"/>
    <ds:schemaRef ds:uri="http://schemas.openxmlformats.org/package/2006/metadata/core-properties"/>
    <ds:schemaRef ds:uri="29f7fb95-c3f2-4a10-ab7b-a3a76dc8befa"/>
  </ds:schemaRefs>
</ds:datastoreItem>
</file>

<file path=customXml/itemProps3.xml><?xml version="1.0" encoding="utf-8"?>
<ds:datastoreItem xmlns:ds="http://schemas.openxmlformats.org/officeDocument/2006/customXml" ds:itemID="{9F5BF1E7-AB1F-4F81-A675-581015BCADB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FE409BD-7995-41CA-847C-0B6D6C2F81D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config</vt:lpstr>
      <vt:lpstr>Dashboard</vt:lpstr>
      <vt:lpstr>Expenses&amp;Income</vt:lpstr>
      <vt:lpstr>FinancialReport</vt:lpstr>
      <vt:lpstr>Goals&amp;Investments</vt:lpstr>
      <vt:lpstr>Budgeting</vt:lpstr>
      <vt:lpstr>Financial Advice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Gillian Tsoi</dc:creator>
  <cp:keywords/>
  <dc:description/>
  <cp:lastModifiedBy>Arnold Liu</cp:lastModifiedBy>
  <cp:revision/>
  <dcterms:created xsi:type="dcterms:W3CDTF">2021-10-13T18:04:27Z</dcterms:created>
  <dcterms:modified xsi:type="dcterms:W3CDTF">2025-02-14T05:35:19Z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0x010100E1C7F5D13426EC4993B8CBB356CE693C</vt:lpwstr>
  </property>
</Properties>
</file>